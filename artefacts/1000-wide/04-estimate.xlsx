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dbe378d0db4a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" sheetId="1" r:id="R0030bf607ec246bd"/>
    <x:sheet xmlns:r="http://schemas.openxmlformats.org/officeDocument/2006/relationships" name="Risk Register" sheetId="2" r:id="R993309042b9c41f4"/>
    <x:sheet xmlns:r="http://schemas.openxmlformats.org/officeDocument/2006/relationships" name="Assumptions" sheetId="3" r:id="R5c74f0b9365b4a2c"/>
    <x:sheet xmlns:r="http://schemas.openxmlformats.org/officeDocument/2006/relationships" name="Commercial Model" sheetId="4" r:id="Ra26ee42e19964d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%"/>
    <x:numFmt numFmtId="202" formatCode="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  <x:fill>
      <x:patternFill patternType="solid">
        <x:fgColor rgb="FFCCFBF1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200" fontId="2" fillId="5" borderId="0" xfId="0" applyNumberFormat="1" applyFont="1" applyFill="1" applyBorder="1"/>
    <x:xf numFmtId="200" fontId="2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200" fontId="2" fillId="6" borderId="0" xfId="0" applyNumberFormat="1" applyFont="1" applyFill="1" applyBorder="1"/>
    <x:xf numFmtId="200" fontId="2" fillId="6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b034ac07a548ec" /><Relationship Type="http://schemas.openxmlformats.org/officeDocument/2006/relationships/theme" Target="/xl/theme/theme1.xml" Id="R9f991c66d9e449a2" /><Relationship Type="http://schemas.openxmlformats.org/officeDocument/2006/relationships/sharedStrings" Target="/xl/sharedStrings.xml" Id="Rbe98e469f9ce4707" /><Relationship Type="http://schemas.openxmlformats.org/officeDocument/2006/relationships/worksheet" Target="/xl/worksheets/sheet1.xml" Id="R0030bf607ec246bd" /><Relationship Type="http://schemas.openxmlformats.org/officeDocument/2006/relationships/worksheet" Target="/xl/worksheets/sheet2.xml" Id="R993309042b9c41f4" /><Relationship Type="http://schemas.openxmlformats.org/officeDocument/2006/relationships/worksheet" Target="/xl/worksheets/sheet3.xml" Id="R5c74f0b9365b4a2c" /><Relationship Type="http://schemas.openxmlformats.org/officeDocument/2006/relationships/worksheet" Target="/xl/worksheets/sheet4.xml" Id="Ra26ee42e19964d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8" hidden="0" customWidth="1"/>
    <x:col min="8" max="8" width="16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</x:cols>
  <x:sheetData>
    <x:row r="1">
      <x:c r="A1" s="5" t="str">
        <x:v>04-estimate — Meridian checkout modernization</x:v>
      </x:c>
      <x:c r="B1" s="5"/>
      <x:c r="C1" s="5"/>
      <x:c r="D1" s="5"/>
      <x:c r="E1" s="5"/>
      <x:c r="F1" s="5"/>
      <x:c r="G1" s="5"/>
      <x:c r="H1" s="5"/>
    </x:row>
    <x:row r="2">
      <x:c r="A2" s="11" t="str">
        <x:v>Estimate basis</x:v>
      </x:c>
      <x:c r="B2" s="14" t="str">
        <x:v>Bottom-up, role × phase, based on the recommended Balanced staffing variant</x:v>
      </x:c>
    </x:row>
    <x:row r="3">
      <x:c r="A3" s="11" t="str">
        <x:v>Commercial recommendation</x:v>
      </x:c>
      <x:c r="B3" s="14" t="str">
        <x:v>Hybrid (fixed-price for scoped delivery phases + T&amp;M for approved change requests / hypercare variance)</x:v>
      </x:c>
    </x:row>
    <x:row r="4">
      <x:c r="A4" s="23"/>
      <x:c r="B4" s="23" t="n">
        <x:v>700</x:v>
      </x:c>
      <x:c r="C4" s="23" t="n">
        <x:v>800</x:v>
      </x:c>
      <x:c r="D4" s="23" t="n">
        <x:v>950</x:v>
      </x:c>
      <x:c r="E4" s="23" t="n">
        <x:v>850</x:v>
      </x:c>
      <x:c r="F4" s="23" t="n">
        <x:v>650</x:v>
      </x:c>
      <x:c r="G4" s="23" t="n">
        <x:v>900</x:v>
      </x:c>
      <x:c r="J4" t="n">
        <x:v>700</x:v>
      </x:c>
      <x:c r="K4" t="n">
        <x:v>800</x:v>
      </x:c>
      <x:c r="L4" t="n">
        <x:v>950</x:v>
      </x:c>
      <x:c r="M4" t="n">
        <x:v>850</x:v>
      </x:c>
      <x:c r="N4" t="n">
        <x:v>650</x:v>
      </x:c>
      <x:c r="O4" t="n">
        <x:v>900</x:v>
      </x:c>
    </x:row>
    <x:row r="5">
      <x:c r="A5" s="18" t="str">
        <x:v>Phase</x:v>
      </x:c>
      <x:c r="B5" s="18" t="str">
        <x:v>BA (€700/day)</x:v>
      </x:c>
      <x:c r="C5" s="18" t="str">
        <x:v>Engineering (€800/day)</x:v>
      </x:c>
      <x:c r="D5" s="18" t="str">
        <x:v>Architecture (€950/day)</x:v>
      </x:c>
      <x:c r="E5" s="18" t="str">
        <x:v>PM/DM (€850/day)</x:v>
      </x:c>
      <x:c r="F5" s="18" t="str">
        <x:v>QA (€650/day)</x:v>
      </x:c>
      <x:c r="G5" s="18" t="str">
        <x:v>Data/Ops/Sec (€900/day)</x:v>
      </x:c>
      <x:c r="H5" s="18" t="str">
        <x:v>Phase Total (€)</x:v>
      </x:c>
      <x:c r="J5" t="str">
        <x:v>BA_days</x:v>
      </x:c>
      <x:c r="K5" t="str">
        <x:v>Eng_days</x:v>
      </x:c>
      <x:c r="L5" t="str">
        <x:v>Arch_days</x:v>
      </x:c>
      <x:c r="M5" t="str">
        <x:v>PM_days</x:v>
      </x:c>
      <x:c r="N5" t="str">
        <x:v>QA_days</x:v>
      </x:c>
      <x:c r="O5" t="str">
        <x:v>DOS_days</x:v>
      </x:c>
    </x:row>
    <x:row r="6">
      <x:c r="A6" s="14" t="str">
        <x:v>1. Mobilize and confirm scope</x:v>
      </x:c>
      <x:c r="B6" s="26" t="n">
        <x:f>J6*$J$4</x:f>
        <x:v>8400</x:v>
      </x:c>
      <x:c r="C6" s="26" t="n">
        <x:f>K6*$K$4</x:f>
        <x:v>8000</x:v>
      </x:c>
      <x:c r="D6" s="26" t="n">
        <x:f>L6*$L$4</x:f>
        <x:v>7600</x:v>
      </x:c>
      <x:c r="E6" s="26" t="n">
        <x:f>M6*$M$4</x:f>
        <x:v>10200</x:v>
      </x:c>
      <x:c r="F6" s="26" t="n">
        <x:f>N6*$N$4</x:f>
        <x:v>2600</x:v>
      </x:c>
      <x:c r="G6" s="26" t="n">
        <x:f>O6*$O$4</x:f>
        <x:v>5400</x:v>
      </x:c>
      <x:c r="H6" s="26" t="n">
        <x:f>SUM(B6:G6)</x:f>
        <x:v>42200</x:v>
      </x:c>
      <x:c r="J6" t="n">
        <x:v>12</x:v>
      </x:c>
      <x:c r="K6" t="n">
        <x:v>10</x:v>
      </x:c>
      <x:c r="L6" t="n">
        <x:v>8</x:v>
      </x:c>
      <x:c r="M6" t="n">
        <x:v>12</x:v>
      </x:c>
      <x:c r="N6" t="n">
        <x:v>4</x:v>
      </x:c>
      <x:c r="O6" t="n">
        <x:v>6</x:v>
      </x:c>
    </x:row>
    <x:row r="7">
      <x:c r="A7" s="14" t="str">
        <x:v>2. Build and integrate core checkout modernization</x:v>
      </x:c>
      <x:c r="B7" s="26" t="n">
        <x:f>J7*$J$4</x:f>
        <x:v>12600</x:v>
      </x:c>
      <x:c r="C7" s="26" t="n">
        <x:f>K7*$K$4</x:f>
        <x:v>72000</x:v>
      </x:c>
      <x:c r="D7" s="26" t="n">
        <x:f>L7*$L$4</x:f>
        <x:v>15200</x:v>
      </x:c>
      <x:c r="E7" s="26" t="n">
        <x:f>M7*$M$4</x:f>
        <x:v>17000</x:v>
      </x:c>
      <x:c r="F7" s="26" t="n">
        <x:f>N7*$N$4</x:f>
        <x:v>15600</x:v>
      </x:c>
      <x:c r="G7" s="26" t="n">
        <x:f>O7*$O$4</x:f>
        <x:v>10800</x:v>
      </x:c>
      <x:c r="H7" s="26" t="n">
        <x:f>SUM(B7:G7)</x:f>
        <x:v>143200</x:v>
      </x:c>
      <x:c r="J7" t="n">
        <x:v>18</x:v>
      </x:c>
      <x:c r="K7" t="n">
        <x:v>90</x:v>
      </x:c>
      <x:c r="L7" t="n">
        <x:v>16</x:v>
      </x:c>
      <x:c r="M7" t="n">
        <x:v>20</x:v>
      </x:c>
      <x:c r="N7" t="n">
        <x:v>24</x:v>
      </x:c>
      <x:c r="O7" t="n">
        <x:v>12</x:v>
      </x:c>
    </x:row>
    <x:row r="8">
      <x:c r="A8" s="14" t="str">
        <x:v>3. Add governed AI cart summary + harden controls</x:v>
      </x:c>
      <x:c r="B8" s="26" t="n">
        <x:f>J8*$J$4</x:f>
        <x:v>7000</x:v>
      </x:c>
      <x:c r="C8" s="26" t="n">
        <x:f>K8*$K$4</x:f>
        <x:v>33600</x:v>
      </x:c>
      <x:c r="D8" s="26" t="n">
        <x:f>L8*$L$4</x:f>
        <x:v>11400</x:v>
      </x:c>
      <x:c r="E8" s="26" t="n">
        <x:f>M8*$M$4</x:f>
        <x:v>10200</x:v>
      </x:c>
      <x:c r="F8" s="26" t="n">
        <x:f>N8*$N$4</x:f>
        <x:v>10400</x:v>
      </x:c>
      <x:c r="G8" s="26" t="n">
        <x:f>O8*$O$4</x:f>
        <x:v>18000</x:v>
      </x:c>
      <x:c r="H8" s="26" t="n">
        <x:f>SUM(B8:G8)</x:f>
        <x:v>90600</x:v>
      </x:c>
      <x:c r="J8" t="n">
        <x:v>10</x:v>
      </x:c>
      <x:c r="K8" t="n">
        <x:v>42</x:v>
      </x:c>
      <x:c r="L8" t="n">
        <x:v>12</x:v>
      </x:c>
      <x:c r="M8" t="n">
        <x:v>12</x:v>
      </x:c>
      <x:c r="N8" t="n">
        <x:v>16</x:v>
      </x:c>
      <x:c r="O8" t="n">
        <x:v>20</x:v>
      </x:c>
    </x:row>
    <x:row r="9">
      <x:c r="A9" s="14" t="str">
        <x:v>4. UAT, rollout, and hypercare transition</x:v>
      </x:c>
      <x:c r="B9" s="26" t="n">
        <x:f>J9*$J$4</x:f>
        <x:v>5600</x:v>
      </x:c>
      <x:c r="C9" s="26" t="n">
        <x:f>K9*$K$4</x:f>
        <x:v>14400</x:v>
      </x:c>
      <x:c r="D9" s="26" t="n">
        <x:f>L9*$L$4</x:f>
        <x:v>5700</x:v>
      </x:c>
      <x:c r="E9" s="26" t="n">
        <x:f>M9*$M$4</x:f>
        <x:v>11900</x:v>
      </x:c>
      <x:c r="F9" s="26" t="n">
        <x:f>N9*$N$4</x:f>
        <x:v>11700</x:v>
      </x:c>
      <x:c r="G9" s="26" t="n">
        <x:f>O9*$O$4</x:f>
        <x:v>9000</x:v>
      </x:c>
      <x:c r="H9" s="26" t="n">
        <x:f>SUM(B9:G9)</x:f>
        <x:v>58300</x:v>
      </x:c>
      <x:c r="J9" t="n">
        <x:v>8</x:v>
      </x:c>
      <x:c r="K9" t="n">
        <x:v>18</x:v>
      </x:c>
      <x:c r="L9" t="n">
        <x:v>6</x:v>
      </x:c>
      <x:c r="M9" t="n">
        <x:v>14</x:v>
      </x:c>
      <x:c r="N9" t="n">
        <x:v>18</x:v>
      </x:c>
      <x:c r="O9" t="n">
        <x:v>10</x:v>
      </x:c>
    </x:row>
    <x:row r="10">
      <x:c r="A10" s="29" t="str">
        <x:v>Base effort total (€)</x:v>
      </x:c>
      <x:c r="B10" s="29" t="str"/>
      <x:c r="C10" s="29" t="str"/>
      <x:c r="D10" s="29" t="str"/>
      <x:c r="E10" s="29" t="str"/>
      <x:c r="F10" s="29" t="str"/>
      <x:c r="G10" s="29" t="str"/>
      <x:c r="H10" s="32" t="n">
        <x:f>SUM(H6:H9)</x:f>
        <x:v>334300</x:v>
      </x:c>
    </x:row>
    <x:row r="12">
      <x:c r="A12" s="16" t="str">
        <x:v>Impact</x:v>
      </x:c>
      <x:c r="B12" s="16" t="str">
        <x:v>Percent</x:v>
      </x:c>
      <x:c r="C12" s="16" t="str">
        <x:v>Basis</x:v>
      </x:c>
      <x:c r="D12" s="16" t="str">
        <x:v>Amount (€)</x:v>
      </x:c>
    </x:row>
    <x:row r="13">
      <x:c r="A13" t="str">
        <x:v>Ramp</x:v>
      </x:c>
      <x:c r="B13" s="34" t="n">
        <x:v>0.12</x:v>
      </x:c>
      <x:c r="C13" t="str">
        <x:v>Base effort</x:v>
      </x:c>
      <x:c r="D13" s="26" t="n">
        <x:f> $H$10*B13</x:f>
        <x:v>40116</x:v>
      </x:c>
    </x:row>
    <x:row r="14">
      <x:c r="A14" t="str">
        <x:v>Outsourced capability coordination</x:v>
      </x:c>
      <x:c r="B14" s="34" t="n">
        <x:v>0.06</x:v>
      </x:c>
      <x:c r="C14" t="str">
        <x:v>Base effort</x:v>
      </x:c>
      <x:c r="D14" s="26" t="n">
        <x:f> $H$10*B14</x:f>
        <x:v>20058</x:v>
      </x:c>
    </x:row>
    <x:row r="15">
      <x:c r="A15" t="str">
        <x:v>Dependency wait</x:v>
      </x:c>
      <x:c r="B15" s="34" t="n">
        <x:v>0.08</x:v>
      </x:c>
      <x:c r="C15" t="str">
        <x:v>Base effort</x:v>
      </x:c>
      <x:c r="D15" s="26" t="n">
        <x:f> $H$10*B15</x:f>
        <x:v>26744</x:v>
      </x:c>
    </x:row>
    <x:row r="16">
      <x:c r="A16" s="29" t="str">
        <x:v>Delivery impacts total (€)</x:v>
      </x:c>
      <x:c r="B16" s="29" t="str"/>
      <x:c r="C16" s="29" t="str"/>
      <x:c r="D16" s="32" t="n">
        <x:f>SUM(D13:D15)</x:f>
        <x:v>86918</x:v>
      </x:c>
    </x:row>
    <x:row r="18">
      <x:c r="A18" s="16" t="str">
        <x:v>Commercial structure</x:v>
      </x:c>
      <x:c r="B18" s="16" t="str">
        <x:v>Percent</x:v>
      </x:c>
      <x:c r="C18" s="16" t="str">
        <x:v>Basis</x:v>
      </x:c>
      <x:c r="D18" s="16" t="str">
        <x:v>Amount (€)</x:v>
      </x:c>
    </x:row>
    <x:row r="19">
      <x:c r="A19" t="str">
        <x:v>Contingency (risk reserve)</x:v>
      </x:c>
      <x:c r="B19" s="34" t="n">
        <x:v>0.18</x:v>
      </x:c>
      <x:c r="C19" t="str">
        <x:v>Base + impacts</x:v>
      </x:c>
      <x:c r="D19" s="26" t="n">
        <x:f>($H$10+$D$16)*B19</x:f>
        <x:v>75819.23999999999</x:v>
      </x:c>
    </x:row>
    <x:row r="20">
      <x:c r="A20" t="str">
        <x:v>Margin</x:v>
      </x:c>
      <x:c r="B20" s="34" t="n">
        <x:v>0.15</x:v>
      </x:c>
      <x:c r="C20" t="str">
        <x:v>Base + impacts + contingency</x:v>
      </x:c>
      <x:c r="D20" s="26" t="n">
        <x:f>($H$10+$D$16+$D$19)*B20</x:f>
        <x:v>74555.586</x:v>
      </x:c>
    </x:row>
    <x:row r="22">
      <x:c r="A22" s="37" t="str">
        <x:v>Final price (€)</x:v>
      </x:c>
      <x:c r="B22" s="37" t="str"/>
      <x:c r="C22" s="37" t="str"/>
      <x:c r="D22" s="40" t="n">
        <x:f>$H$10+$D$16+$D$19+$D$20</x:f>
        <x:v>571592.826</x:v>
      </x:c>
    </x:row>
    <x:row r="24">
      <x:c r="A24" s="11" t="str">
        <x:v>Recommendation</x:v>
      </x:c>
      <x:c r="B24" s="14" t="str">
        <x:v>Use a hybrid model: fixed-price for bounded phases 1–3, with T&amp;M for approved scope change and hypercare variance.</x:v>
      </x:c>
    </x:row>
    <x:row r="25">
      <x:c r="A25" s="11" t="str">
        <x:v>Why</x:v>
      </x:c>
      <x:c r="B25" s="14" t="str">
        <x:v>This respects buyer discipline while keeping change and dependency risk from collapsing the fixed-price core.</x:v>
      </x:c>
    </x:row>
    <x:row r="26">
      <x:c r="A26" s="11" t="str">
        <x:v>Who carries risk</x:v>
      </x:c>
      <x:c r="B26" s="14" t="str">
        <x:v>Supplier carries scoped delivery risk; buyer carries approved change-request and dependency-delay risk.</x:v>
      </x:c>
    </x:row>
    <x:row r="27">
      <x:c r="A27" s="11" t="str">
        <x:v>AI inference cost source</x:v>
      </x:c>
      <x:c r="B27" s="14" t="str">
        <x:v>Source AI unit cost from Module 800 gateway cost reference, not an unsourced estimate.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4" hidden="0" customWidth="1"/>
    <x:col min="3" max="3" width="12" hidden="0" customWidth="1"/>
    <x:col min="4" max="4" width="8" hidden="0" customWidth="1"/>
    <x:col min="5" max="5" width="48" hidden="0" customWidth="1"/>
    <x:col min="6" max="6" width="16" hidden="0" customWidth="1"/>
  </x:cols>
  <x:sheetData>
    <x:row r="1">
      <x:c r="A1" s="43" t="str">
        <x:v>Risk Register</x:v>
      </x:c>
      <x:c r="B1" s="43"/>
      <x:c r="C1" s="43"/>
      <x:c r="D1" s="43"/>
      <x:c r="E1" s="43"/>
      <x:c r="F1" s="43"/>
    </x:row>
    <x:row r="3">
      <x:c r="A3" s="17" t="str">
        <x:v>Risk</x:v>
      </x:c>
      <x:c r="B3" s="17" t="str">
        <x:v>Likelihood (1-5)</x:v>
      </x:c>
      <x:c r="C3" s="17" t="str">
        <x:v>Impact (1-5)</x:v>
      </x:c>
      <x:c r="D3" s="17" t="str">
        <x:v>Score</x:v>
      </x:c>
      <x:c r="E3" s="17" t="str">
        <x:v>Active mitigation</x:v>
      </x:c>
      <x:c r="F3" s="17" t="str">
        <x:v>Status</x:v>
      </x:c>
    </x:row>
    <x:row r="4">
      <x:c r="A4" t="str">
        <x:v>Client-side decision latency delays phase exits</x:v>
      </x:c>
      <x:c r="B4" s="46" t="n">
        <x:v>4</x:v>
      </x:c>
      <x:c r="C4" s="46" t="n">
        <x:v>4</x:v>
      </x:c>
      <x:c r="D4" s="46" t="n">
        <x:f>B4*C4</x:f>
        <x:v>16</x:v>
      </x:c>
      <x:c r="E4" s="14" t="str">
        <x:v>Name sponsor + approval SLA in plan; treat delayed sign-off as dependency risk, not silent vendor delay.</x:v>
      </x:c>
      <x:c r="F4" t="str">
        <x:v>Active mitigation</x:v>
      </x:c>
    </x:row>
    <x:row r="5">
      <x:c r="A5" t="str">
        <x:v>AI gateway/cost governance not approved in time</x:v>
      </x:c>
      <x:c r="B5" s="46" t="n">
        <x:v>3</x:v>
      </x:c>
      <x:c r="C5" s="46" t="n">
        <x:v>5</x:v>
      </x:c>
      <x:c r="D5" s="46" t="n">
        <x:f>B5*C5</x:f>
        <x:v>15</x:v>
      </x:c>
      <x:c r="E5" s="14" t="str">
        <x:v>Front-load gateway access, cost cap, and kill-switch approval in Phase 1 with named Meridian owner.</x:v>
      </x:c>
      <x:c r="F5" t="str">
        <x:v>Active mitigation</x:v>
      </x:c>
    </x:row>
    <x:row r="6">
      <x:c r="A6" t="str">
        <x:v>Sub-vendor coordination slips critical milestone</x:v>
      </x:c>
      <x:c r="B6" s="46" t="n">
        <x:v>3</x:v>
      </x:c>
      <x:c r="C6" s="46" t="n">
        <x:v>4</x:v>
      </x:c>
      <x:c r="D6" s="46" t="n">
        <x:f>B6*C6</x:f>
        <x:v>12</x:v>
      </x:c>
      <x:c r="E6" s="14" t="str">
        <x:v>Gate N&amp;N through EPAM review with required evidence pack and escalation path.</x:v>
      </x:c>
      <x:c r="F6" t="str">
        <x:v>Active mitigation</x:v>
      </x:c>
    </x:row>
    <x:row r="7">
      <x:c r="A7" t="str">
        <x:v>Security or compliance findings reopen scoped design</x:v>
      </x:c>
      <x:c r="B7" s="46" t="n">
        <x:v>2</x:v>
      </x:c>
      <x:c r="C7" s="46" t="n">
        <x:v>5</x:v>
      </x:c>
      <x:c r="D7" s="46" t="n">
        <x:f>B7*C7</x:f>
        <x:v>10</x:v>
      </x:c>
      <x:c r="E7" s="14" t="str">
        <x:v>Carry security evidence pack early; review threat model and control path before Phase 3 build lock.</x:v>
      </x:c>
      <x:c r="F7" t="str">
        <x:v>Active mitigation</x:v>
      </x:c>
    </x:row>
    <x:row r="8">
      <x:c r="A8" t="str">
        <x:v>Performance/ops hardening takes longer than assumed</x:v>
      </x:c>
      <x:c r="B8" s="46" t="n">
        <x:v>3</x:v>
      </x:c>
      <x:c r="C8" s="46" t="n">
        <x:v>4</x:v>
      </x:c>
      <x:c r="D8" s="46" t="n">
        <x:f>B8*C8</x:f>
        <x:v>12</x:v>
      </x:c>
      <x:c r="E8" s="14" t="str">
        <x:v>Keep rollback path, probes, CI controls, and runbook work in scoped hardening phase, not hidden in build.</x:v>
      </x:c>
      <x:c r="F8" t="str">
        <x:v>Active mitigation</x:v>
      </x:c>
    </x:row>
  </x:sheetData>
  <x:mergeCells>
    <x:mergeCell ref="A1:F1"/>
  </x:mergeCells>
  <x:conditionalFormatting sqref="A4:F8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28" hidden="0" customWidth="1"/>
    <x:col min="4" max="4" width="28" hidden="0" customWidth="1"/>
    <x:col min="5" max="5" width="18" hidden="0" customWidth="1"/>
  </x:cols>
  <x:sheetData>
    <x:row r="1">
      <x:c r="A1" s="43" t="str">
        <x:v>Assumption Register</x:v>
      </x:c>
      <x:c r="B1" s="43"/>
      <x:c r="C1" s="43"/>
      <x:c r="D1" s="43"/>
      <x:c r="E1" s="43"/>
    </x:row>
    <x:row r="3">
      <x:c r="A3" s="17" t="str">
        <x:v>Assumption</x:v>
      </x:c>
      <x:c r="B3" s="17" t="str">
        <x:v>Bound</x:v>
      </x:c>
      <x:c r="C3" s="17" t="str">
        <x:v>Why it matters</x:v>
      </x:c>
      <x:c r="D3" s="17" t="str">
        <x:v>Failure consequence</x:v>
      </x:c>
      <x:c r="E3" s="17" t="str">
        <x:v>Owner to resolve</x:v>
      </x:c>
    </x:row>
    <x:row r="4">
      <x:c r="A4" s="14" t="str">
        <x:v>Named Meridian decision-makers respond within 5 business days</x:v>
      </x:c>
      <x:c r="B4" s="14" t="str">
        <x:v>Named condition</x:v>
      </x:c>
      <x:c r="C4" s="14" t="str">
        <x:v>Phase exits and change control depend on timely approvals</x:v>
      </x:c>
      <x:c r="D4" s="14" t="str">
        <x:v>Schedule slips move into dependency wait, not supplier underperformance</x:v>
      </x:c>
      <x:c r="E4" s="14" t="str">
        <x:v>Meridian sponsor</x:v>
      </x:c>
    </x:row>
    <x:row r="5">
      <x:c r="A5" s="14" t="str">
        <x:v>Team reaches &gt;=70% effective utilization after sprint 2</x:v>
      </x:c>
      <x:c r="B5" s="14" t="str">
        <x:v>Numeric</x:v>
      </x:c>
      <x:c r="C5" s="14" t="str">
        <x:v>Ramp is costed separately and cannot be assumed away</x:v>
      </x:c>
      <x:c r="D5" s="14" t="str">
        <x:v>Extra ramp cost consumes contingency reserve</x:v>
      </x:c>
      <x:c r="E5" s="14" t="str">
        <x:v>Delivery Lead</x:v>
      </x:c>
    </x:row>
    <x:row r="6">
      <x:c r="A6" s="14" t="str">
        <x:v>Gateway access for AI summary is approved by end of Phase 1</x:v>
      </x:c>
      <x:c r="B6" s="14" t="str">
        <x:v>Named condition</x:v>
      </x:c>
      <x:c r="C6" s="14" t="str">
        <x:v>Phase 3 cannot start without governed gateway path</x:v>
      </x:c>
      <x:c r="D6" s="14" t="str">
        <x:v>AI feature moves right or is descoped</x:v>
      </x:c>
      <x:c r="E6" s="14" t="str">
        <x:v>Security + platform owner</x:v>
      </x:c>
    </x:row>
    <x:row r="7">
      <x:c r="A7" s="14" t="str">
        <x:v>Client-side APIs/data contracts remain materially stable after baseline sign-off</x:v>
      </x:c>
      <x:c r="B7" s="14" t="str">
        <x:v>Named condition</x:v>
      </x:c>
      <x:c r="C7" s="14" t="str">
        <x:v>Estimate assumes bounded change after scope freeze</x:v>
      </x:c>
      <x:c r="D7" s="14" t="str">
        <x:v>Change request / commercial re-baseline required</x:v>
      </x:c>
      <x:c r="E7" s="14" t="str">
        <x:v>Client product/architecture owner</x:v>
      </x:c>
    </x:row>
    <x:row r="8">
      <x:c r="A8" s="14" t="str">
        <x:v>Hypercare covers stabilization only for 4 weeks</x:v>
      </x:c>
      <x:c r="B8" s="14" t="str">
        <x:v>Numeric</x:v>
      </x:c>
      <x:c r="C8" s="14" t="str">
        <x:v>Prevents indefinite support cost from sitting inside base estimate</x:v>
      </x:c>
      <x:c r="D8" s="14" t="str">
        <x:v>Extension handled as T&amp;M or approved change</x:v>
      </x:c>
      <x:c r="E8" s="14" t="str">
        <x:v>PM / client sponsor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6" hidden="0" customWidth="1"/>
    <x:col min="4" max="4" width="14" hidden="0" customWidth="1"/>
  </x:cols>
  <x:sheetData>
    <x:row r="1">
      <x:c r="A1" s="43" t="str">
        <x:v>Commercial Model Decision Matrix</x:v>
      </x:c>
      <x:c r="B1" s="43"/>
      <x:c r="C1" s="43"/>
      <x:c r="D1" s="43"/>
    </x:row>
    <x:row r="3">
      <x:c r="A3" s="16" t="str">
        <x:v>Model</x:v>
      </x:c>
      <x:c r="B3" s="16" t="str">
        <x:v>Risk fit</x:v>
      </x:c>
      <x:c r="C3" s="16" t="str">
        <x:v>Cash-flow fit</x:v>
      </x:c>
      <x:c r="D3" s="16" t="str">
        <x:v>Buyer fit</x:v>
      </x:c>
    </x:row>
    <x:row r="4">
      <x:c r="A4" t="str">
        <x:v>T&amp;M</x:v>
      </x:c>
      <x:c r="B4" t="str">
        <x:v>High flexibility, weaker buyer predictability</x:v>
      </x:c>
      <x:c r="C4" t="str">
        <x:v>Good for supplier, variable for buyer</x:v>
      </x:c>
      <x:c r="D4" t="str">
        <x:v>Medium</x:v>
      </x:c>
    </x:row>
    <x:row r="5">
      <x:c r="A5" t="str">
        <x:v>Fixed price</x:v>
      </x:c>
      <x:c r="B5" t="str">
        <x:v>Weak fit unless scope is tightly bounded</x:v>
      </x:c>
      <x:c r="C5" t="str">
        <x:v>Predictable for buyer, risky for supplier</x:v>
      </x:c>
      <x:c r="D5" t="str">
        <x:v>Medium</x:v>
      </x:c>
    </x:row>
    <x:row r="6">
      <x:c r="A6" t="str">
        <x:v>Hybrid (recommended)</x:v>
      </x:c>
      <x:c r="B6" t="str">
        <x:v>Best fit: bounded phases fixed, changes/variance handled separately</x:v>
      </x:c>
      <x:c r="C6" t="str">
        <x:v>Balanced</x:v>
      </x:c>
      <x:c r="D6" t="str">
        <x:v>High</x:v>
      </x:c>
    </x:row>
    <x:row r="8">
      <x:c r="A8" s="11" t="str">
        <x:v>Recommended model</x:v>
      </x:c>
      <x:c r="B8" s="14" t="str">
        <x:v>Hybrid</x:v>
      </x:c>
      <x:c r="C8" s="14"/>
      <x:c r="D8" s="14"/>
    </x:row>
    <x:row r="9">
      <x:c r="A9" s="11" t="str">
        <x:v>Rationale</x:v>
      </x:c>
      <x:c r="B9" s="14" t="str">
        <x:v>Keeps the core delivery commercially defensible while respecting buyer discipline and isolating dependency / change variance.</x:v>
      </x:c>
      <x:c r="C9" s="14"/>
      <x:c r="D9" s="14"/>
    </x:row>
    <x:row r="10">
      <x:c r="A10" s="11" t="str">
        <x:v>Decision note</x:v>
      </x:c>
      <x:c r="B10" s="14" t="str">
        <x:v>Contingency stays separate from margin; top risks have active mitigations; assumptions are bounded.</x:v>
      </x:c>
      <x:c r="C10" s="14"/>
      <x:c r="D10" s="14"/>
    </x:row>
  </x:sheetData>
  <x:mergeCells>
    <x:mergeCell ref="A1:D1"/>
  </x:mergeCells>
  <x:pageMargins left="0.7" right="0.7" top="0.75" bottom="0.75" header="0.3" footer="0.3"/>
</x:worksheet>
</file>