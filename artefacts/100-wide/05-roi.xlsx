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99f8f78fc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I_Model" sheetId="1" r:id="Ra6597f3ce6414656"/>
    <x:sheet xmlns:r="http://schemas.openxmlformats.org/officeDocument/2006/relationships" name="Sources" sheetId="2" r:id="R5876c6cbe6af44d2"/>
    <x:sheet xmlns:r="http://schemas.openxmlformats.org/officeDocument/2006/relationships" name="Assumptions" sheetId="3" r:id="Rc5d20299a9b4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0%"/>
    <x:numFmt numFmtId="203" formatCode="$#,##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3964653764c97" /><Relationship Type="http://schemas.openxmlformats.org/officeDocument/2006/relationships/theme" Target="/xl/theme/theme1.xml" Id="Ref05ed2e108c4735" /><Relationship Type="http://schemas.openxmlformats.org/officeDocument/2006/relationships/sharedStrings" Target="/xl/sharedStrings.xml" Id="R974b6d86247c4c68" /><Relationship Type="http://schemas.openxmlformats.org/officeDocument/2006/relationships/worksheet" Target="/xl/worksheets/sheet1.xml" Id="Ra6597f3ce6414656" /><Relationship Type="http://schemas.openxmlformats.org/officeDocument/2006/relationships/worksheet" Target="/xl/worksheets/sheet2.xml" Id="R5876c6cbe6af44d2" /><Relationship Type="http://schemas.openxmlformats.org/officeDocument/2006/relationships/worksheet" Target="/xl/worksheets/sheet3.xml" Id="Rc5d20299a9b442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76b898def142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Cumulative net value by month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Pessimistic cumulative net</c:v>
          </c:tx>
          <c:cat>
            <c:strRef>
              <c:f>'ROI_Model'!$A$21:$A$32</c:f>
              <c:strCache>
                <c:ptCount val="0"/>
              </c:strCache>
            </c:strRef>
          </c:cat>
          <c:val>
            <c:numRef>
              <c:f>'ROI_Model'!$B$21:$B$32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 cumulative net</c:v>
          </c:tx>
          <c:cat>
            <c:strRef>
              <c:f>'ROI_Model'!$A$21:$A$32</c:f>
              <c:strCache>
                <c:ptCount val="0"/>
              </c:strCache>
            </c:strRef>
          </c:cat>
          <c:val>
            <c:numRef>
              <c:f>'ROI_Model'!$C$21:$C$32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Optimistic cumulative net</c:v>
          </c:tx>
          <c:cat>
            <c:strRef>
              <c:f>'ROI_Model'!$A$21:$A$32</c:f>
              <c:strCache>
                <c:ptCount val="0"/>
              </c:strCache>
            </c:strRef>
          </c:cat>
          <c:val>
            <c:numRef>
              <c:f>'ROI_Model'!$D$21:$D$32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6b898def142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cb0453cddd4c0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6" max="6" width="28" hidden="0" customWidth="1"/>
    <x:col min="7" max="7" width="16" hidden="0" customWidth="1"/>
  </x:cols>
  <x:sheetData>
    <x:row r="1">
      <x:c r="A1" s="26" t="str">
        <x:v>05-ROI — Agentic parity-investigation assistant for migration defects</x:v>
      </x:c>
      <x:c r="B1" s="26"/>
      <x:c r="C1" s="26"/>
      <x:c r="D1" s="26"/>
      <x:c r="E1" s="26"/>
      <x:c r="F1" s="26"/>
      <x:c r="G1" s="27"/>
    </x:row>
    <x:row r="2">
      <x:c r="A2" s="27"/>
      <x:c r="B2" s="27"/>
      <x:c r="C2" s="27"/>
      <x:c r="D2" s="27"/>
      <x:c r="E2" s="27"/>
      <x:c r="F2" s="27"/>
      <x:c r="G2" s="27"/>
    </x:row>
    <x:row r="3">
      <x:c r="A3" s="28" t="str">
        <x:v>Use case</x:v>
      </x:c>
      <x:c r="B3" s="27" t="str">
        <x:v>Agentic parity-investigation assistant for migration defects</x:v>
      </x:c>
      <x:c r="C3" s="27"/>
      <x:c r="D3" s="27"/>
      <x:c r="E3" s="27"/>
      <x:c r="F3" s="27" t="str">
        <x:v>Top-2 sensitivity drivers</x:v>
      </x:c>
      <x:c r="G3" s="27" t="str">
        <x:v>Base case impact on payback</x:v>
      </x:c>
    </x:row>
    <x:row r="4">
      <x:c r="A4" s="28" t="str">
        <x:v>Model horizon</x:v>
      </x:c>
      <x:c r="B4" s="27" t="str">
        <x:v>12 months</x:v>
      </x:c>
      <x:c r="C4" s="27"/>
      <x:c r="D4" s="27"/>
      <x:c r="E4" s="27"/>
      <x:c r="F4" s="27" t="str">
        <x:v>Time reduction % (+20%)</x:v>
      </x:c>
      <x:c r="G4" s="29" t="n">
        <x:f>IF(C17&lt;=0,"n/a",ROUNDUP((C8+C9)/((Assumptions!E5*Assumptions!E6*(Assumptions!E7*1.2)*Assumptions!E8*Assumptions!E11)-C12),0)-C18)</x:f>
        <x:v>-2</x:v>
      </x:c>
    </x:row>
    <x:row r="5">
      <x:c r="A5" s="28" t="str">
        <x:v>Note</x:v>
      </x:c>
      <x:c r="B5" s="27" t="str">
        <x:v>Named sources where available; project-specific items are marked unverified</x:v>
      </x:c>
      <x:c r="C5" s="27"/>
      <x:c r="D5" s="27"/>
      <x:c r="E5" s="27"/>
      <x:c r="F5" s="27" t="str">
        <x:v>Time reduction % (-20%)</x:v>
      </x:c>
      <x:c r="G5" s="29" t="n">
        <x:f>IF(C17&lt;=0,"n/a",ROUNDUP((C8+C9)/((Assumptions!E5*Assumptions!E6*(Assumptions!E7*0.8)*Assumptions!E8*Assumptions!E11)-C12),0)-C18)</x:f>
        <x:v>5</x:v>
      </x:c>
    </x:row>
    <x:row r="6">
      <x:c r="A6" s="27"/>
      <x:c r="B6" s="27"/>
      <x:c r="C6" s="27"/>
      <x:c r="D6" s="27"/>
      <x:c r="E6" s="27"/>
      <x:c r="F6" s="27" t="str">
        <x:v>Monthly investigations (+20%)</x:v>
      </x:c>
      <x:c r="G6" s="29" t="n">
        <x:f>IF(C17&lt;=0,"n/a",ROUNDUP((C8+C9)/(((Assumptions!E5*1.2)*Assumptions!E6*Assumptions!E7*Assumptions!E8*Assumptions!E11)-(((Assumptions!E4*Assumptions!E13))+(((Assumptions!E5*1.2)*((Assumptions!E9*Assumptions!E14)+(Assumptions!E10*Assumptions!E15)))/1000000))),0)-C18)</x:f>
        <x:v>-2</x:v>
      </x:c>
    </x:row>
    <x:row r="7">
      <x:c r="A7" s="27"/>
      <x:c r="B7" s="30" t="str">
        <x:v>Pessimistic</x:v>
      </x:c>
      <x:c r="C7" s="30" t="str">
        <x:v>Base</x:v>
      </x:c>
      <x:c r="D7" s="30" t="str">
        <x:v>Optimistic</x:v>
      </x:c>
      <x:c r="E7" s="27"/>
      <x:c r="F7" s="27" t="str">
        <x:v>Monthly investigations (-20%)</x:v>
      </x:c>
      <x:c r="G7" s="29" t="n">
        <x:f>IF(C17&lt;=0,"n/a",ROUNDUP((C8+C9)/(((Assumptions!E5*0.8)*Assumptions!E6*Assumptions!E7*Assumptions!E8*Assumptions!E11)-(((Assumptions!E4*Assumptions!E13))+(((Assumptions!E5*0.8)*((Assumptions!E9*Assumptions!E14)+(Assumptions!E10*Assumptions!E15)))/1000000))),0)-C18)</x:f>
        <x:v>5</x:v>
      </x:c>
    </x:row>
    <x:row r="8">
      <x:c r="A8" s="28" t="str">
        <x:v>One-time implementation cost</x:v>
      </x:c>
      <x:c r="B8" s="31" t="n">
        <x:f>Assumptions!D2*Assumptions!D11</x:f>
        <x:v>13420</x:v>
      </x:c>
      <x:c r="C8" s="31" t="n">
        <x:f>Assumptions!E2*Assumptions!E11</x:f>
        <x:v>8820</x:v>
      </x:c>
      <x:c r="D8" s="31" t="n">
        <x:f>Assumptions!F2*Assumptions!F11</x:f>
        <x:v>6500</x:v>
      </x:c>
      <x:c r="E8" s="27"/>
      <x:c r="F8" s="27"/>
      <x:c r="G8" s="27"/>
    </x:row>
    <x:row r="9">
      <x:c r="A9" s="28" t="str">
        <x:v>One-time change-management cost</x:v>
      </x:c>
      <x:c r="B9" s="31" t="n">
        <x:f>Assumptions!D3*Assumptions!D12</x:f>
        <x:v>1920</x:v>
      </x:c>
      <x:c r="C9" s="31" t="n">
        <x:f>Assumptions!E3*Assumptions!E12</x:f>
        <x:v>1176</x:v>
      </x:c>
      <x:c r="D9" s="31" t="n">
        <x:f>Assumptions!F3*Assumptions!F12</x:f>
        <x:v>600</x:v>
      </x:c>
      <x:c r="E9" s="27"/>
      <x:c r="F9" s="27" t="str">
        <x:v>Top-2 drivers</x:v>
      </x:c>
      <x:c r="G9" s="27" t="str"/>
    </x:row>
    <x:row r="10">
      <x:c r="A10" s="28" t="str">
        <x:v>Monthly monitoring cost</x:v>
      </x:c>
      <x:c r="B10" s="32" t="n">
        <x:f>Assumptions!D4*Assumptions!D13</x:f>
        <x:v>576</x:v>
      </x:c>
      <x:c r="C10" s="32" t="n">
        <x:f>Assumptions!E4*Assumptions!E13</x:f>
        <x:v>392</x:v>
      </x:c>
      <x:c r="D10" s="32" t="n">
        <x:f>Assumptions!F4*Assumptions!F13</x:f>
        <x:v>200</x:v>
      </x:c>
      <x:c r="E10" s="27"/>
      <x:c r="F10" s="27" t="str">
        <x:v>#1</x:v>
      </x:c>
      <x:c r="G10" s="27" t="str">
        <x:v>Time reduction %</x:v>
      </x:c>
    </x:row>
    <x:row r="11">
      <x:c r="A11" s="28" t="str">
        <x:v>Monthly inference cost</x:v>
      </x:c>
      <x:c r="B11" s="32" t="n">
        <x:f>(Assumptions!D5*((Assumptions!D9*Assumptions!D14)+(Assumptions!D10*Assumptions!D15)))/1000000</x:f>
        <x:v>0.855</x:v>
      </x:c>
      <x:c r="C11" s="32" t="n">
        <x:f>(Assumptions!E5*((Assumptions!E9*Assumptions!E14)+(Assumptions!E10*Assumptions!E15)))/1000000</x:f>
        <x:v>2.475</x:v>
      </x:c>
      <x:c r="D11" s="32" t="n">
        <x:f>(Assumptions!F5*((Assumptions!F9*Assumptions!F14)+(Assumptions!F10*Assumptions!F15)))/1000000</x:f>
        <x:v>4.935</x:v>
      </x:c>
      <x:c r="E11" s="27"/>
      <x:c r="F11" s="27" t="str">
        <x:v>#2</x:v>
      </x:c>
      <x:c r="G11" s="27" t="str">
        <x:v>Monthly investigations affected</x:v>
      </x:c>
    </x:row>
    <x:row r="12">
      <x:c r="A12" s="28" t="str">
        <x:v>Monthly total cost</x:v>
      </x:c>
      <x:c r="B12" s="32" t="n">
        <x:f>B10+B11</x:f>
        <x:v>576.855</x:v>
      </x:c>
      <x:c r="C12" s="32" t="n">
        <x:f>C10+C11</x:f>
        <x:v>394.475</x:v>
      </x:c>
      <x:c r="D12" s="32" t="n">
        <x:f>D10+D11</x:f>
        <x:v>204.935</x:v>
      </x:c>
      <x:c r="E12" s="27"/>
      <x:c r="F12" s="27" t="str">
        <x:v>Reason</x:v>
      </x:c>
      <x:c r="G12" s="27" t="str">
        <x:v>These two assumptions move monthly benefit most in the base case.</x:v>
      </x:c>
    </x:row>
    <x:row r="13">
      <x:c r="A13" s="28" t="str"/>
      <x:c r="B13" s="31"/>
      <x:c r="C13" s="31"/>
      <x:c r="D13" s="31"/>
      <x:c r="E13" s="27"/>
      <x:c r="F13" s="27"/>
      <x:c r="G13" s="27"/>
    </x:row>
    <x:row r="14">
      <x:c r="A14" s="28" t="str">
        <x:v>Monthly time-saved value</x:v>
      </x:c>
      <x:c r="B14" s="32" t="n">
        <x:f>Assumptions!D5*Assumptions!D6*Assumptions!D7*Assumptions!D8*Assumptions!D11</x:f>
        <x:v>219.6</x:v>
      </x:c>
      <x:c r="C14" s="32" t="n">
        <x:f>Assumptions!E5*Assumptions!E6*Assumptions!E7*Assumptions!E8*Assumptions!E11</x:f>
        <x:v>1234.8</x:v>
      </x:c>
      <x:c r="D14" s="32" t="n">
        <x:f>Assumptions!F5*Assumptions!F6*Assumptions!F7*Assumptions!F8*Assumptions!F11</x:f>
        <x:v>3480.75</x:v>
      </x:c>
      <x:c r="E14" s="27"/>
      <x:c r="F14" s="27"/>
      <x:c r="G14" s="27"/>
    </x:row>
    <x:row r="15">
      <x:c r="A15" s="28" t="str">
        <x:v>Monthly total value</x:v>
      </x:c>
      <x:c r="B15" s="32" t="n">
        <x:f>B14</x:f>
        <x:v>219.6</x:v>
      </x:c>
      <x:c r="C15" s="32" t="n">
        <x:f>C14</x:f>
        <x:v>1234.8</x:v>
      </x:c>
      <x:c r="D15" s="32" t="n">
        <x:f>D14</x:f>
        <x:v>3480.75</x:v>
      </x:c>
      <x:c r="E15" s="27"/>
      <x:c r="F15" s="27"/>
      <x:c r="G15" s="27"/>
    </x:row>
    <x:row r="16">
      <x:c r="A16" s="28" t="str"/>
      <x:c r="B16" s="31"/>
      <x:c r="C16" s="31"/>
      <x:c r="D16" s="31"/>
      <x:c r="E16" s="27"/>
      <x:c r="F16" s="27"/>
      <x:c r="G16" s="27"/>
    </x:row>
    <x:row r="17">
      <x:c r="A17" s="28" t="str">
        <x:v>Monthly net value</x:v>
      </x:c>
      <x:c r="B17" s="32" t="n">
        <x:f>B15-B12</x:f>
        <x:v>-357.255</x:v>
      </x:c>
      <x:c r="C17" s="32" t="n">
        <x:f>C15-C12</x:f>
        <x:v>840.3249999999999</x:v>
      </x:c>
      <x:c r="D17" s="32" t="n">
        <x:f>D15-D12</x:f>
        <x:v>3275.815</x:v>
      </x:c>
      <x:c r="E17" s="27"/>
      <x:c r="F17" s="27"/>
      <x:c r="G17" s="27"/>
    </x:row>
    <x:row r="18">
      <x:c r="A18" s="28" t="str">
        <x:v>Payback period (months)</x:v>
      </x:c>
      <x:c r="B18" s="29" t="str">
        <x:f>IF(B17&lt;=0,"No payback",ROUNDUP((B8+B9)/B17,0))</x:f>
        <x:v>No payback</x:v>
      </x:c>
      <x:c r="C18" s="29" t="n">
        <x:f>IF(C17&lt;=0,"No payback",ROUNDUP((C8+C9)/C17,0))</x:f>
        <x:v>12</x:v>
      </x:c>
      <x:c r="D18" s="29" t="n">
        <x:f>IF(D17&lt;=0,"No payback",ROUNDUP((D8+D9)/D17,0))</x:f>
        <x:v>3</x:v>
      </x:c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45" t="str">
        <x:v>Month</x:v>
      </x:c>
      <x:c r="B20" s="45" t="str">
        <x:v>Pessimistic cumulative net</x:v>
      </x:c>
      <x:c r="C20" s="45" t="str">
        <x:v>Base cumulative net</x:v>
      </x:c>
      <x:c r="D20" s="45" t="str">
        <x:v>Optimistic cumulative net</x:v>
      </x:c>
      <x:c r="E20" s="27"/>
      <x:c r="F20" s="27"/>
      <x:c r="G20" s="27"/>
    </x:row>
    <x:row r="21">
      <x:c r="A21" s="27" t="n">
        <x:v>1</x:v>
      </x:c>
      <x:c r="B21" s="32" t="n">
        <x:f>B17-(B8+B9)</x:f>
        <x:v>-15697.255</x:v>
      </x:c>
      <x:c r="C21" s="32" t="n">
        <x:f>C17-(C8+C9)</x:f>
        <x:v>-9155.675</x:v>
      </x:c>
      <x:c r="D21" s="32" t="n">
        <x:f>D17-(D8+D9)</x:f>
        <x:v>-3824.185</x:v>
      </x:c>
      <x:c r="E21" s="27"/>
      <x:c r="F21" s="27"/>
      <x:c r="G21" s="27"/>
    </x:row>
    <x:row r="22">
      <x:c r="A22" s="27" t="n">
        <x:v>2</x:v>
      </x:c>
      <x:c r="B22" s="32" t="n">
        <x:f>B21+$B$17</x:f>
        <x:v>-16054.509999999998</x:v>
      </x:c>
      <x:c r="C22" s="32" t="n">
        <x:f>C21+$C$17</x:f>
        <x:v>-8315.349999999999</x:v>
      </x:c>
      <x:c r="D22" s="32" t="n">
        <x:f>D21+$D$17</x:f>
        <x:v>-548.3699999999999</x:v>
      </x:c>
      <x:c r="E22" s="27"/>
      <x:c r="F22" s="27"/>
      <x:c r="G22" s="27"/>
    </x:row>
    <x:row r="23">
      <x:c r="A23" s="27" t="n">
        <x:v>3</x:v>
      </x:c>
      <x:c r="B23" s="32" t="n">
        <x:f>B22+$B$17</x:f>
        <x:v>-16411.765</x:v>
      </x:c>
      <x:c r="C23" s="32" t="n">
        <x:f>C22+$C$17</x:f>
        <x:v>-7475.024999999999</x:v>
      </x:c>
      <x:c r="D23" s="32" t="n">
        <x:f>D22+$D$17</x:f>
        <x:v>2727.445</x:v>
      </x:c>
      <x:c r="E23" s="27"/>
      <x:c r="F23" s="27"/>
      <x:c r="G23" s="27"/>
    </x:row>
    <x:row r="24">
      <x:c r="A24" s="27" t="n">
        <x:v>4</x:v>
      </x:c>
      <x:c r="B24" s="32" t="n">
        <x:f>B23+$B$17</x:f>
        <x:v>-16769.02</x:v>
      </x:c>
      <x:c r="C24" s="32" t="n">
        <x:f>C23+$C$17</x:f>
        <x:v>-6634.699999999999</x:v>
      </x:c>
      <x:c r="D24" s="32" t="n">
        <x:f>D23+$D$17</x:f>
        <x:v>6003.26</x:v>
      </x:c>
      <x:c r="E24" s="27"/>
      <x:c r="F24" s="27"/>
      <x:c r="G24" s="27"/>
    </x:row>
    <x:row r="25">
      <x:c r="A25" s="27" t="n">
        <x:v>5</x:v>
      </x:c>
      <x:c r="B25" s="32" t="n">
        <x:f>B24+$B$17</x:f>
        <x:v>-17126.275</x:v>
      </x:c>
      <x:c r="C25" s="32" t="n">
        <x:f>C24+$C$17</x:f>
        <x:v>-5794.374999999999</x:v>
      </x:c>
      <x:c r="D25" s="32" t="n">
        <x:f>D24+$D$17</x:f>
        <x:v>9279.075</x:v>
      </x:c>
      <x:c r="E25" s="27"/>
      <x:c r="F25" s="27"/>
      <x:c r="G25" s="27"/>
    </x:row>
    <x:row r="26">
      <x:c r="A26" s="27" t="n">
        <x:v>6</x:v>
      </x:c>
      <x:c r="B26" s="32" t="n">
        <x:f>B25+$B$17</x:f>
        <x:v>-17483.530000000002</x:v>
      </x:c>
      <x:c r="C26" s="32" t="n">
        <x:f>C25+$C$17</x:f>
        <x:v>-4954.049999999999</x:v>
      </x:c>
      <x:c r="D26" s="32" t="n">
        <x:f>D25+$D$17</x:f>
        <x:v>12554.890000000001</x:v>
      </x:c>
      <x:c r="E26" s="27"/>
      <x:c r="F26" s="27"/>
      <x:c r="G26" s="27"/>
    </x:row>
    <x:row r="27">
      <x:c r="A27" s="27" t="n">
        <x:v>7</x:v>
      </x:c>
      <x:c r="B27" s="32" t="n">
        <x:f>B26+$B$17</x:f>
        <x:v>-17840.785000000003</x:v>
      </x:c>
      <x:c r="C27" s="32" t="n">
        <x:f>C26+$C$17</x:f>
        <x:v>-4113.724999999999</x:v>
      </x:c>
      <x:c r="D27" s="32" t="n">
        <x:f>D26+$D$17</x:f>
        <x:v>15830.705000000002</x:v>
      </x:c>
      <x:c r="E27" s="27"/>
      <x:c r="F27" s="27"/>
      <x:c r="G27" s="27"/>
    </x:row>
    <x:row r="28">
      <x:c r="A28" s="27" t="n">
        <x:v>8</x:v>
      </x:c>
      <x:c r="B28" s="32" t="n">
        <x:f>B27+$B$17</x:f>
        <x:v>-18198.040000000005</x:v>
      </x:c>
      <x:c r="C28" s="32" t="n">
        <x:f>C27+$C$17</x:f>
        <x:v>-3273.3999999999996</x:v>
      </x:c>
      <x:c r="D28" s="32" t="n">
        <x:f>D27+$D$17</x:f>
        <x:v>19106.52</x:v>
      </x:c>
      <x:c r="E28" s="27"/>
      <x:c r="F28" s="27"/>
      <x:c r="G28" s="27"/>
    </x:row>
    <x:row r="29">
      <x:c r="A29" s="27" t="n">
        <x:v>9</x:v>
      </x:c>
      <x:c r="B29" s="32" t="n">
        <x:f>B28+$B$17</x:f>
        <x:v>-18555.295000000006</x:v>
      </x:c>
      <x:c r="C29" s="32" t="n">
        <x:f>C28+$C$17</x:f>
        <x:v>-2433.075</x:v>
      </x:c>
      <x:c r="D29" s="32" t="n">
        <x:f>D28+$D$17</x:f>
        <x:v>22382.335</x:v>
      </x:c>
      <x:c r="E29" s="27"/>
      <x:c r="F29" s="27"/>
      <x:c r="G29" s="27"/>
    </x:row>
    <x:row r="30">
      <x:c r="A30" s="27" t="n">
        <x:v>10</x:v>
      </x:c>
      <x:c r="B30" s="32" t="n">
        <x:f>B29+$B$17</x:f>
        <x:v>-18912.550000000007</x:v>
      </x:c>
      <x:c r="C30" s="32" t="n">
        <x:f>C29+$C$17</x:f>
        <x:v>-1592.75</x:v>
      </x:c>
      <x:c r="D30" s="32" t="n">
        <x:f>D29+$D$17</x:f>
        <x:v>25658.149999999998</x:v>
      </x:c>
      <x:c r="E30" s="27"/>
      <x:c r="F30" s="27"/>
      <x:c r="G30" s="27"/>
    </x:row>
    <x:row r="31">
      <x:c r="A31" s="27" t="n">
        <x:v>11</x:v>
      </x:c>
      <x:c r="B31" s="32" t="n">
        <x:f>B30+$B$17</x:f>
        <x:v>-19269.805000000008</x:v>
      </x:c>
      <x:c r="C31" s="32" t="n">
        <x:f>C30+$C$17</x:f>
        <x:v>-752.4250000000001</x:v>
      </x:c>
      <x:c r="D31" s="32" t="n">
        <x:f>D30+$D$17</x:f>
        <x:v>28933.964999999997</x:v>
      </x:c>
    </x:row>
    <x:row r="32">
      <x:c r="A32" s="27" t="n">
        <x:v>12</x:v>
      </x:c>
      <x:c r="B32" s="32" t="n">
        <x:f>B31+$B$17</x:f>
        <x:v>-19627.06000000001</x:v>
      </x:c>
      <x:c r="C32" s="32" t="n">
        <x:f>C31+$C$17</x:f>
        <x:v>87.89999999999986</x:v>
      </x:c>
      <x:c r="D32" s="32" t="n">
        <x:f>D31+$D$17</x:f>
        <x:v>32209.779999999995</x:v>
      </x:c>
    </x:row>
  </x:sheetData>
  <x:mergeCells>
    <x:mergeCell ref="A1:F1"/>
  </x:mergeCells>
  <x:conditionalFormatting sqref="B17:D1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B18:D18">
    <x:cfRule type="cellIs" dxfId="0" priority="2" operator="lessThanOrEqual">
      <x:formula>12</x:formula>
    </x:cfRule>
    <x:cfRule type="cellIs" dxfId="1" priority="3" operator="greaterThan">
      <x:formula>12</x:formula>
    </x:cfRule>
  </x:conditionalFormatting>
  <x:pageMargins left="0.7" right="0.7" top="0.75" bottom="0.75" header="0.3" footer="0.3"/>
  <x:drawing xmlns:r="http://schemas.openxmlformats.org/officeDocument/2006/relationships" r:id="Rf9cb0453cddd4c0b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45" hidden="0" customWidth="1"/>
    <x:col min="5" max="5" width="55" hidden="0" customWidth="1"/>
  </x:cols>
  <x:sheetData>
    <x:row r="1">
      <x:c r="A1" s="40" t="str">
        <x:v>Benchmark</x:v>
      </x:c>
      <x:c r="B1" s="40" t="str">
        <x:v>Value</x:v>
      </x:c>
      <x:c r="C1" s="40" t="str">
        <x:v>Unit</x:v>
      </x:c>
      <x:c r="D1" s="40" t="str">
        <x:v>Source / Notes</x:v>
      </x:c>
      <x:c r="E1" s="40" t="str">
        <x:v>URL</x:v>
      </x:c>
      <x:c r="F1" s="40"/>
      <x:c r="G1" s="40"/>
    </x:row>
    <x:row r="2">
      <x:c r="A2" s="27" t="str">
        <x:v>Software developer median annual wage (May 2024)</x:v>
      </x:c>
      <x:c r="B2" s="27" t="n">
        <x:v>133080</x:v>
      </x:c>
      <x:c r="C2" s="27" t="str">
        <x:v>USD/year</x:v>
      </x:c>
      <x:c r="D2" s="27" t="str">
        <x:v>BLS Occupational Outlook Handbook, published Aug 28 2025; wage from May 2024</x:v>
      </x:c>
      <x:c r="E2" s="27" t="str">
        <x:v>https://www.bls.gov/ooh/computer-and-information-technology/software-developers.htm</x:v>
      </x:c>
      <x:c r="F2" s="27"/>
      <x:c r="G2" s="27"/>
    </x:row>
    <x:row r="3">
      <x:c r="A3" s="27" t="str">
        <x:v>Software QA analyst/tester median annual wage (May 2024)</x:v>
      </x:c>
      <x:c r="B3" s="27" t="n">
        <x:v>102610</x:v>
      </x:c>
      <x:c r="C3" s="27" t="str">
        <x:v>USD/year</x:v>
      </x:c>
      <x:c r="D3" s="27" t="str">
        <x:v>BLS Occupational Outlook Handbook, published Aug 28 2025; wage from May 2024</x:v>
      </x:c>
      <x:c r="E3" s="27" t="str">
        <x:v>https://www.bls.gov/ooh/computer-and-information-technology/software-developers.htm</x:v>
      </x:c>
      <x:c r="F3" s="27"/>
      <x:c r="G3" s="27"/>
    </x:row>
    <x:row r="4">
      <x:c r="A4" s="27" t="str">
        <x:v>Management analyst median annual wage (May 2024)</x:v>
      </x:c>
      <x:c r="B4" s="27" t="n">
        <x:v>101190</x:v>
      </x:c>
      <x:c r="C4" s="27" t="str">
        <x:v>USD/year</x:v>
      </x:c>
      <x:c r="D4" s="27" t="str">
        <x:v>BLS Occupational Outlook Handbook, published Aug 28 2025; wage from May 2024</x:v>
      </x:c>
      <x:c r="E4" s="27" t="str">
        <x:v>https://www.bls.gov/ooh/business-and-financial/management-analysts.htm</x:v>
      </x:c>
      <x:c r="F4" s="27"/>
      <x:c r="G4" s="27"/>
    </x:row>
    <x:row r="5">
      <x:c r="A5" s="27" t="str">
        <x:v>GenAI software engineering productivity uplift range</x:v>
      </x:c>
      <x:c r="B5" s="27" t="str">
        <x:v>20%–45%</x:v>
      </x:c>
      <x:c r="C5" s="27" t="str">
        <x:v>%</x:v>
      </x:c>
      <x:c r="D5" s="27" t="str">
        <x:v>McKinsey economic potential of GenAI, Jun 14 2023</x:v>
      </x:c>
      <x:c r="E5" s="27" t="str">
        <x:v>https://www.mckinsey.com/capabilities/tech-and-ai/our-insights/the-economic-potential-of-generative-ai-the-next-productivity-frontier</x:v>
      </x:c>
      <x:c r="F5" s="27"/>
      <x:c r="G5" s="27"/>
    </x:row>
    <x:row r="6">
      <x:c r="A6" s="27" t="str">
        <x:v>OpenAI GPT-5.4 input price</x:v>
      </x:c>
      <x:c r="B6" s="27" t="n">
        <x:v>0.75</x:v>
      </x:c>
      <x:c r="C6" s="27" t="str">
        <x:v>USD / 1M tokens</x:v>
      </x:c>
      <x:c r="D6" s="27" t="str">
        <x:v>OpenAI API pricing page</x:v>
      </x:c>
      <x:c r="E6" s="27" t="str">
        <x:v>https://openai.com/api/pricing/</x:v>
      </x:c>
      <x:c r="F6" s="27"/>
      <x:c r="G6" s="27"/>
    </x:row>
    <x:row r="7">
      <x:c r="A7" s="27" t="str">
        <x:v>OpenAI GPT-5.4 output price</x:v>
      </x:c>
      <x:c r="B7" s="27" t="n">
        <x:v>4.5</x:v>
      </x:c>
      <x:c r="C7" s="27" t="str">
        <x:v>USD / 1M tokens</x:v>
      </x:c>
      <x:c r="D7" s="27" t="str">
        <x:v>OpenAI API pricing page</x:v>
      </x:c>
      <x:c r="E7" s="27" t="str">
        <x:v>https://openai.com/api/pricing/</x:v>
      </x:c>
      <x:c r="F7" s="27"/>
      <x:c r="G7" s="27"/>
    </x:row>
    <x:row r="8">
      <x:c r="A8" s="48" t="str">
        <x:v>Project monthly investigations</x:v>
      </x:c>
      <x:c r="B8" s="48" t="str">
        <x:v>Unverified</x:v>
      </x:c>
      <x:c r="C8" s="48" t="str"/>
      <x:c r="D8" s="48" t="str">
        <x:v>Project estimate: replace before exec review</x:v>
      </x:c>
      <x:c r="E8" s="48" t="str"/>
      <x:c r="F8" s="27"/>
      <x:c r="G8" s="27"/>
    </x:row>
    <x:row r="9">
      <x:c r="A9" s="48" t="str">
        <x:v>Project baseline hours per investigation</x:v>
      </x:c>
      <x:c r="B9" s="48" t="str">
        <x:v>Unverified</x:v>
      </x:c>
      <x:c r="C9" s="48" t="str"/>
      <x:c r="D9" s="48" t="str">
        <x:v>Project estimate: replace before exec review</x:v>
      </x:c>
      <x:c r="E9" s="48" t="str"/>
      <x:c r="F9" s="27"/>
      <x:c r="G9" s="27"/>
    </x:row>
    <x:row r="10">
      <x:c r="A10" s="48" t="str">
        <x:v>Project adoption rate</x:v>
      </x:c>
      <x:c r="B10" s="48" t="str">
        <x:v>Unverified</x:v>
      </x:c>
      <x:c r="C10" s="48" t="str"/>
      <x:c r="D10" s="48" t="str">
        <x:v>Project estimate: replace before exec review</x:v>
      </x:c>
      <x:c r="E10" s="48" t="str"/>
      <x:c r="F10" s="27"/>
      <x:c r="G10" s="27"/>
    </x:row>
    <x:row r="11">
      <x:c r="A11" s="48" t="str">
        <x:v>Implementation hours</x:v>
      </x:c>
      <x:c r="B11" s="48" t="str">
        <x:v>Unverified</x:v>
      </x:c>
      <x:c r="C11" s="48" t="str"/>
      <x:c r="D11" s="48" t="str">
        <x:v>Project estimate: replace before exec review</x:v>
      </x:c>
      <x:c r="E11" s="48" t="str"/>
      <x:c r="F11" s="27"/>
      <x:c r="G11" s="27"/>
    </x:row>
    <x:row r="12">
      <x:c r="A12" s="48" t="str">
        <x:v>Change-management hours</x:v>
      </x:c>
      <x:c r="B12" s="48" t="str">
        <x:v>Unverified</x:v>
      </x:c>
      <x:c r="C12" s="48" t="str"/>
      <x:c r="D12" s="48" t="str">
        <x:v>Project estimate: replace before exec review</x:v>
      </x:c>
      <x:c r="E12" s="48" t="str"/>
      <x:c r="F12" s="27"/>
      <x:c r="G12" s="27"/>
    </x:row>
    <x:row r="13">
      <x:c r="A13" s="48" t="str">
        <x:v>Monitoring hours per month</x:v>
      </x:c>
      <x:c r="B13" s="48" t="str">
        <x:v>Unverified</x:v>
      </x:c>
      <x:c r="C13" s="48" t="str"/>
      <x:c r="D13" s="48" t="str">
        <x:v>Project estimate: replace before exec review</x:v>
      </x:c>
      <x:c r="E13" s="48" t="str"/>
      <x:c r="F13" s="27"/>
      <x:c r="G13" s="27"/>
    </x:row>
    <x:row r="14">
      <x:c r="A14" s="48" t="str">
        <x:v>Tokens per investigation</x:v>
      </x:c>
      <x:c r="B14" s="48" t="str">
        <x:v>Unverified</x:v>
      </x:c>
      <x:c r="C14" s="48" t="str"/>
      <x:c r="D14" s="48" t="str">
        <x:v>Project estimate: replace before exec review</x:v>
      </x:c>
      <x:c r="E14" s="48" t="str"/>
      <x:c r="F14" s="27"/>
      <x:c r="G14" s="27"/>
    </x:row>
    <x:row r="15">
      <x:c r="A15" s="27"/>
      <x:c r="B15" s="27"/>
      <x:c r="C15" s="27"/>
      <x:c r="D15" s="27"/>
      <x:c r="E15" s="27"/>
      <x:c r="F15" s="27"/>
      <x:c r="G15" s="27"/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40" hidden="0" customWidth="1"/>
  </x:cols>
  <x:sheetData>
    <x:row r="1">
      <x:c r="A1" s="40" t="str">
        <x:v>ROI assumption</x:v>
      </x:c>
      <x:c r="B1" s="40" t="str">
        <x:v>Unit</x:v>
      </x:c>
      <x:c r="C1" s="40" t="str">
        <x:v>Source class</x:v>
      </x:c>
      <x:c r="D1" s="40" t="str">
        <x:v>Pessimistic</x:v>
      </x:c>
      <x:c r="E1" s="40" t="str">
        <x:v>Base</x:v>
      </x:c>
      <x:c r="F1" s="40" t="str">
        <x:v>Optimistic</x:v>
      </x:c>
      <x:c r="G1" s="40" t="str">
        <x:v>Benchmark / source</x:v>
      </x:c>
    </x:row>
    <x:row r="2">
      <x:c r="A2" s="27" t="str">
        <x:v>Implementation hours</x:v>
      </x:c>
      <x:c r="B2" s="27" t="str">
        <x:v>hours (one-time)</x:v>
      </x:c>
      <x:c r="C2" s="48" t="str">
        <x:v>Project estimate - unverified</x:v>
      </x:c>
      <x:c r="D2" s="31" t="n">
        <x:v>220</x:v>
      </x:c>
      <x:c r="E2" s="31" t="n">
        <x:v>140</x:v>
      </x:c>
      <x:c r="F2" s="31" t="n">
        <x:v>100</x:v>
      </x:c>
      <x:c r="G2" s="27" t="str">
        <x:v>Replace with engineering sizing</x:v>
      </x:c>
    </x:row>
    <x:row r="3">
      <x:c r="A3" s="27" t="str">
        <x:v>Change-management hours</x:v>
      </x:c>
      <x:c r="B3" s="27" t="str">
        <x:v>hours (one-time)</x:v>
      </x:c>
      <x:c r="C3" s="48" t="str">
        <x:v>Project estimate - unverified</x:v>
      </x:c>
      <x:c r="D3" s="31" t="n">
        <x:v>40</x:v>
      </x:c>
      <x:c r="E3" s="31" t="n">
        <x:v>24</x:v>
      </x:c>
      <x:c r="F3" s="31" t="n">
        <x:v>12</x:v>
      </x:c>
      <x:c r="G3" s="27" t="str">
        <x:v>Replace with enablement plan</x:v>
      </x:c>
    </x:row>
    <x:row r="4">
      <x:c r="A4" s="27" t="str">
        <x:v>Monitoring hours / month</x:v>
      </x:c>
      <x:c r="B4" s="27" t="str">
        <x:v>hours / month</x:v>
      </x:c>
      <x:c r="C4" s="48" t="str">
        <x:v>Project estimate - unverified</x:v>
      </x:c>
      <x:c r="D4" s="29" t="n">
        <x:v>12</x:v>
      </x:c>
      <x:c r="E4" s="29" t="n">
        <x:v>8</x:v>
      </x:c>
      <x:c r="F4" s="29" t="n">
        <x:v>4</x:v>
      </x:c>
      <x:c r="G4" s="27" t="str">
        <x:v>Replace with operating model</x:v>
      </x:c>
    </x:row>
    <x:row r="5">
      <x:c r="A5" s="27" t="str">
        <x:v>Monthly investigations affected</x:v>
      </x:c>
      <x:c r="B5" s="27" t="str">
        <x:v>count / month</x:v>
      </x:c>
      <x:c r="C5" s="48" t="str">
        <x:v>Project estimate - unverified</x:v>
      </x:c>
      <x:c r="D5" s="29" t="n">
        <x:v>6</x:v>
      </x:c>
      <x:c r="E5" s="29" t="n">
        <x:v>10</x:v>
      </x:c>
      <x:c r="F5" s="29" t="n">
        <x:v>14</x:v>
      </x:c>
      <x:c r="G5" s="27" t="str">
        <x:v>Replace with incident/parity log</x:v>
      </x:c>
    </x:row>
    <x:row r="6">
      <x:c r="A6" s="27" t="str">
        <x:v>Baseline hours / investigation</x:v>
      </x:c>
      <x:c r="B6" s="27" t="str">
        <x:v>hours</x:v>
      </x:c>
      <x:c r="C6" s="48" t="str">
        <x:v>Project estimate - unverified</x:v>
      </x:c>
      <x:c r="D6" s="29" t="n">
        <x:v>6</x:v>
      </x:c>
      <x:c r="E6" s="29" t="n">
        <x:v>8</x:v>
      </x:c>
      <x:c r="F6" s="29" t="n">
        <x:v>10</x:v>
      </x:c>
      <x:c r="G6" s="27" t="str">
        <x:v>Replace with time study</x:v>
      </x:c>
    </x:row>
    <x:row r="7">
      <x:c r="A7" s="27" t="str">
        <x:v>Time reduction from AI workflow</x:v>
      </x:c>
      <x:c r="B7" s="27" t="str">
        <x:v>%</x:v>
      </x:c>
      <x:c r="C7" s="27" t="str">
        <x:v>Named benchmark</x:v>
      </x:c>
      <x:c r="D7" s="42" t="n">
        <x:v>0.2</x:v>
      </x:c>
      <x:c r="E7" s="42" t="n">
        <x:v>0.35</x:v>
      </x:c>
      <x:c r="F7" s="42" t="n">
        <x:v>0.45</x:v>
      </x:c>
      <x:c r="G7" s="27" t="str">
        <x:v>McKinsey software engineering productivity uplift 20%-45%</x:v>
      </x:c>
    </x:row>
    <x:row r="8">
      <x:c r="A8" s="27" t="str">
        <x:v>Adoption rate in target workflow</x:v>
      </x:c>
      <x:c r="B8" s="27" t="str">
        <x:v>%</x:v>
      </x:c>
      <x:c r="C8" s="48" t="str">
        <x:v>Project estimate - unverified</x:v>
      </x:c>
      <x:c r="D8" s="42" t="n">
        <x:v>0.5</x:v>
      </x:c>
      <x:c r="E8" s="42" t="n">
        <x:v>0.7</x:v>
      </x:c>
      <x:c r="F8" s="42" t="n">
        <x:v>0.85</x:v>
      </x:c>
      <x:c r="G8" s="27" t="str">
        <x:v>Replace with pilot adoption</x:v>
      </x:c>
    </x:row>
    <x:row r="9">
      <x:c r="A9" s="27" t="str">
        <x:v>Monthly input tokens / investigation</x:v>
      </x:c>
      <x:c r="B9" s="27" t="str">
        <x:v>tokens</x:v>
      </x:c>
      <x:c r="C9" s="48" t="str">
        <x:v>Project estimate - unverified</x:v>
      </x:c>
      <x:c r="D9" s="29" t="n">
        <x:v>100000</x:v>
      </x:c>
      <x:c r="E9" s="29" t="n">
        <x:v>150000</x:v>
      </x:c>
      <x:c r="F9" s="29" t="n">
        <x:v>200000</x:v>
      </x:c>
      <x:c r="G9" s="27" t="str">
        <x:v>Prompt + context + tool traces</x:v>
      </x:c>
    </x:row>
    <x:row r="10">
      <x:c r="A10" s="27" t="str">
        <x:v>Monthly output tokens / investigation</x:v>
      </x:c>
      <x:c r="B10" s="27" t="str">
        <x:v>tokens</x:v>
      </x:c>
      <x:c r="C10" s="48" t="str">
        <x:v>Project estimate - unverified</x:v>
      </x:c>
      <x:c r="D10" s="29" t="n">
        <x:v>15000</x:v>
      </x:c>
      <x:c r="E10" s="29" t="n">
        <x:v>30000</x:v>
      </x:c>
      <x:c r="F10" s="29" t="n">
        <x:v>45000</x:v>
      </x:c>
      <x:c r="G10" s="27" t="str">
        <x:v>Investigation summary + reasoning</x:v>
      </x:c>
    </x:row>
    <x:row r="11">
      <x:c r="A11" s="27" t="str">
        <x:v>Implementation labor rate</x:v>
      </x:c>
      <x:c r="B11" s="27" t="str">
        <x:v>USD / hour</x:v>
      </x:c>
      <x:c r="C11" s="27" t="str">
        <x:v>Named benchmark</x:v>
      </x:c>
      <x:c r="D11" s="31" t="n">
        <x:v>61</x:v>
      </x:c>
      <x:c r="E11" s="31" t="n">
        <x:v>63</x:v>
      </x:c>
      <x:c r="F11" s="31" t="n">
        <x:v>65</x:v>
      </x:c>
      <x:c r="G11" s="27" t="str">
        <x:v>Blended from BLS software developer and QA median wages / 2080h</x:v>
      </x:c>
    </x:row>
    <x:row r="12">
      <x:c r="A12" s="27" t="str">
        <x:v>Change-management labor rate</x:v>
      </x:c>
      <x:c r="B12" s="27" t="str">
        <x:v>USD / hour</x:v>
      </x:c>
      <x:c r="C12" s="27" t="str">
        <x:v>Named benchmark</x:v>
      </x:c>
      <x:c r="D12" s="31" t="n">
        <x:v>48</x:v>
      </x:c>
      <x:c r="E12" s="31" t="n">
        <x:v>49</x:v>
      </x:c>
      <x:c r="F12" s="31" t="n">
        <x:v>50</x:v>
      </x:c>
      <x:c r="G12" s="27" t="str">
        <x:v>BLS management analyst median wage / 2080h</x:v>
      </x:c>
    </x:row>
    <x:row r="13">
      <x:c r="A13" s="27" t="str">
        <x:v>Monitoring labor rate</x:v>
      </x:c>
      <x:c r="B13" s="27" t="str">
        <x:v>USD / hour</x:v>
      </x:c>
      <x:c r="C13" s="27" t="str">
        <x:v>Named benchmark</x:v>
      </x:c>
      <x:c r="D13" s="31" t="n">
        <x:v>48</x:v>
      </x:c>
      <x:c r="E13" s="31" t="n">
        <x:v>49</x:v>
      </x:c>
      <x:c r="F13" s="31" t="n">
        <x:v>50</x:v>
      </x:c>
      <x:c r="G13" s="27" t="str">
        <x:v>Use management analyst / operations proxy</x:v>
      </x:c>
    </x:row>
    <x:row r="14">
      <x:c r="A14" s="27" t="str">
        <x:v>Input token price</x:v>
      </x:c>
      <x:c r="B14" s="27" t="str">
        <x:v>USD / 1M tokens</x:v>
      </x:c>
      <x:c r="C14" s="27" t="str">
        <x:v>Named benchmark</x:v>
      </x:c>
      <x:c r="D14" s="31" t="n">
        <x:v>0.75</x:v>
      </x:c>
      <x:c r="E14" s="31" t="n">
        <x:v>0.75</x:v>
      </x:c>
      <x:c r="F14" s="31" t="n">
        <x:v>0.75</x:v>
      </x:c>
      <x:c r="G14" s="27" t="str">
        <x:v>OpenAI GPT-5.4 pricing</x:v>
      </x:c>
    </x:row>
    <x:row r="15">
      <x:c r="A15" s="27" t="str">
        <x:v>Output token price</x:v>
      </x:c>
      <x:c r="B15" s="27" t="str">
        <x:v>USD / 1M tokens</x:v>
      </x:c>
      <x:c r="C15" s="27" t="str">
        <x:v>Named benchmark</x:v>
      </x:c>
      <x:c r="D15" s="31" t="n">
        <x:v>4.5</x:v>
      </x:c>
      <x:c r="E15" s="31" t="n">
        <x:v>4.5</x:v>
      </x:c>
      <x:c r="F15" s="31" t="n">
        <x:v>4.5</x:v>
      </x:c>
      <x:c r="G15" s="27" t="str">
        <x:v>OpenAI GPT-5.4 pricing</x:v>
      </x:c>
    </x:row>
    <x:row r="16">
      <x:c r="A16" s="27"/>
      <x:c r="B16" s="27"/>
      <x:c r="C16" s="27"/>
      <x:c r="D16" s="27"/>
      <x:c r="E16" s="27"/>
      <x:c r="F16" s="27"/>
      <x:c r="G16" s="27"/>
    </x:row>
    <x:row r="17">
      <x:c r="A17" s="27"/>
      <x:c r="B17" s="27"/>
      <x:c r="C17" s="27"/>
      <x:c r="D17" s="27"/>
      <x:c r="E17" s="27"/>
      <x:c r="F17" s="27"/>
      <x:c r="G17" s="27"/>
    </x:row>
    <x:row r="18">
      <x:c r="A18" s="27"/>
      <x:c r="B18" s="27"/>
      <x:c r="C18" s="27"/>
      <x:c r="D18" s="27"/>
      <x:c r="E18" s="27"/>
      <x:c r="F18" s="27"/>
      <x:c r="G18" s="27"/>
    </x:row>
    <x:row r="19">
      <x:c r="A19" s="27"/>
      <x:c r="B19" s="27"/>
      <x:c r="C19" s="27"/>
      <x:c r="D19" s="27"/>
      <x:c r="E19" s="27"/>
      <x:c r="F19" s="27"/>
      <x:c r="G19" s="27"/>
    </x:row>
    <x:row r="20">
      <x:c r="A20" s="27"/>
      <x:c r="B20" s="27"/>
      <x:c r="C20" s="27"/>
      <x:c r="D20" s="27"/>
      <x:c r="E20" s="27"/>
      <x:c r="F20" s="27"/>
      <x:c r="G20" s="27"/>
    </x:row>
    <x:row r="21">
      <x:c r="A21" s="27"/>
      <x:c r="B21" s="27"/>
      <x:c r="C21" s="27"/>
      <x:c r="D21" s="27"/>
      <x:c r="E21" s="27"/>
      <x:c r="F21" s="27"/>
      <x:c r="G21" s="27"/>
    </x:row>
    <x:row r="22">
      <x:c r="A22" s="27"/>
      <x:c r="B22" s="27"/>
      <x:c r="C22" s="27"/>
      <x:c r="D22" s="27"/>
      <x:c r="E22" s="27"/>
      <x:c r="F22" s="27"/>
      <x:c r="G22" s="27"/>
    </x:row>
    <x:row r="23">
      <x:c r="A23" s="27"/>
      <x:c r="B23" s="27"/>
      <x:c r="C23" s="27"/>
      <x:c r="D23" s="27"/>
      <x:c r="E23" s="27"/>
      <x:c r="F23" s="27"/>
      <x:c r="G23" s="27"/>
    </x:row>
    <x:row r="24">
      <x:c r="A24" s="27"/>
      <x:c r="B24" s="27"/>
      <x:c r="C24" s="27"/>
      <x:c r="D24" s="27"/>
      <x:c r="E24" s="27"/>
      <x:c r="F24" s="27"/>
      <x:c r="G24" s="27"/>
    </x:row>
    <x:row r="25">
      <x:c r="A25" s="27"/>
      <x:c r="B25" s="27"/>
      <x:c r="C25" s="27"/>
      <x:c r="D25" s="27"/>
      <x:c r="E25" s="27"/>
      <x:c r="F25" s="27"/>
      <x:c r="G25" s="27"/>
    </x:row>
    <x:row r="26">
      <x:c r="A26" s="27"/>
      <x:c r="B26" s="27"/>
      <x:c r="C26" s="27"/>
      <x:c r="D26" s="27"/>
      <x:c r="E26" s="27"/>
      <x:c r="F26" s="27"/>
      <x:c r="G26" s="27"/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7"/>
      <x:c r="B28" s="27"/>
      <x:c r="C28" s="27"/>
      <x:c r="D28" s="27"/>
      <x:c r="E28" s="27"/>
      <x:c r="F28" s="27"/>
      <x:c r="G28" s="27"/>
    </x:row>
    <x:row r="29">
      <x:c r="A29" s="27"/>
      <x:c r="B29" s="27"/>
      <x:c r="C29" s="27"/>
      <x:c r="D29" s="27"/>
      <x:c r="E29" s="27"/>
      <x:c r="F29" s="27"/>
      <x:c r="G29" s="27"/>
    </x:row>
    <x:row r="30">
      <x:c r="A30" s="27"/>
      <x:c r="B30" s="27"/>
      <x:c r="C30" s="27"/>
      <x:c r="D30" s="27"/>
      <x:c r="E30" s="27"/>
      <x:c r="F30" s="27"/>
      <x:c r="G30" s="27"/>
    </x:row>
  </x:sheetData>
  <x:pageMargins left="0.7" right="0.7" top="0.75" bottom="0.75" header="0.3" footer="0.3"/>
</x:worksheet>
</file>